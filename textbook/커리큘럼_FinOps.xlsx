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iond\plugins\courseware\output\finops-azure\"/>
    </mc:Choice>
  </mc:AlternateContent>
  <xr:revisionPtr revIDLastSave="0" documentId="13_ncr:1_{62358862-EB0C-4B96-9528-C18A32C85A9C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과정 개요" sheetId="1" r:id="rId1"/>
    <sheet name="커리큘럼" sheetId="2" r:id="rId2"/>
  </sheets>
  <definedNames>
    <definedName name="_xlnm.Print_Area" localSheetId="0">'과정 개요'!$A$1:$F$43</definedName>
    <definedName name="_xlnm.Print_Area" localSheetId="1">커리큘럼!$A$1:$I$35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2" l="1"/>
  <c r="F27" i="1"/>
</calcChain>
</file>

<file path=xl/sharedStrings.xml><?xml version="1.0" encoding="utf-8"?>
<sst xmlns="http://schemas.openxmlformats.org/spreadsheetml/2006/main" count="230" uniqueCount="208">
  <si>
    <t>Azure 클라우드 FinOps 실무</t>
  </si>
  <si>
    <t>보이기 · 줄이기 · 체계화 핸즈온 워크숍  |  1일 8H 집중 (09:00–17:00)</t>
  </si>
  <si>
    <t>■ 과정 기본 정보</t>
  </si>
  <si>
    <t>과정명</t>
  </si>
  <si>
    <t>Azure 클라우드 FinOps 실무 — 보이기·줄이기·체계화 핸즈온</t>
  </si>
  <si>
    <t>교육 형태</t>
  </si>
  <si>
    <t>1일 집중 핸즈온 워크숍 (강사 시연 + 수강생 직접 실습)</t>
  </si>
  <si>
    <t>난이도</t>
  </si>
  <si>
    <t>중급 (Azure 기본 지식 보유자)</t>
  </si>
  <si>
    <t>총 소요시간</t>
  </si>
  <si>
    <t>8시간(8H) / 1일</t>
  </si>
  <si>
    <t>이론:실습</t>
  </si>
  <si>
    <t>약 34 : 66 (순수 실습 265분)</t>
  </si>
  <si>
    <t>권장 인원</t>
  </si>
  <si>
    <t>교육 일자</t>
  </si>
  <si>
    <t>(협의 후 확정) 1일</t>
  </si>
  <si>
    <t>교육 대상</t>
  </si>
  <si>
    <t>KT 클라우드 운영자, 비용 관리 담당자, 서비스 PO/BA (Azure 기본 지식 보유자)</t>
  </si>
  <si>
    <t>운영 골격</t>
  </si>
  <si>
    <t>WHY·성숙도 → 보이기(Inform) → 줄이기(Optimize) → 체계화(Operate) → 종합실습 → 플러그인 데모</t>
  </si>
  <si>
    <t>교육 목표</t>
  </si>
  <si>
    <t>① Azure Cost Management로 비용 가시화(Inform)
② '비용'과 '사용량(Usage Quantity)' 구분 분석
③ Right-sizing·스케일링·약정으로 최적화(Optimize)
④ 단위경제 KPI·협업으로 체계화(Operate)</t>
  </si>
  <si>
    <t>■ 과정 특징 — 차별성 5요소</t>
  </si>
  <si>
    <t>1</t>
  </si>
  <si>
    <t>2</t>
  </si>
  <si>
    <t>실습 위주(약 66%): 청취가 아닌 직접 클릭·설정·관찰 중심의 핸즈온 구성</t>
  </si>
  <si>
    <t>3</t>
  </si>
  <si>
    <t>'묻히기 쉬운 항목' 독립 세션화: 사용량 분석·CMDB 조인·자가진단·할인대상 판별을 별도 실습으로 분리</t>
  </si>
  <si>
    <t>4</t>
  </si>
  <si>
    <t>5</t>
  </si>
  <si>
    <t>■ 수강 효과 — Inform · Optimize · Operate 기대효과</t>
  </si>
  <si>
    <t>Inform</t>
  </si>
  <si>
    <t>조직/서비스별 월간 비용·추이·증감 요소·이상 비용을 스스로 시각화 가능</t>
  </si>
  <si>
    <t>Optimize</t>
  </si>
  <si>
    <t>비효율 요소를 탐지하고 적정 SKU·스케일링·약정으로 즉시 조치 가능</t>
  </si>
  <si>
    <t>Operate</t>
  </si>
  <si>
    <t>단위경제 KPI와 Persona별 역할을 정의하여 운영 거버넌스 정착</t>
  </si>
  <si>
    <t>■ 평가 방식</t>
  </si>
  <si>
    <t>평가 항목</t>
  </si>
  <si>
    <t>방법</t>
  </si>
  <si>
    <t>비중</t>
  </si>
  <si>
    <t>실습 완료도</t>
  </si>
  <si>
    <t>세션별 실습 산출물(스크린샷·설정값) 체크리스트</t>
  </si>
  <si>
    <t>Inform 자가진단</t>
  </si>
  <si>
    <t>Ownership×Capability 워크시트 작성·점수화 제출</t>
  </si>
  <si>
    <t>종합 시나리오</t>
  </si>
  <si>
    <t>M7 종합실습 수행 결과</t>
  </si>
  <si>
    <t>참여·이해도</t>
  </si>
  <si>
    <t>세션 중 질의응답·토론 참여</t>
  </si>
  <si>
    <t>합계</t>
  </si>
  <si>
    <t>(MUST 2종 완료 + 총점 70% 이상 합격)</t>
  </si>
  <si>
    <t>■ 학습 환경 요구사항</t>
  </si>
  <si>
    <t>계정</t>
  </si>
  <si>
    <t>권한</t>
  </si>
  <si>
    <t>Cost Management 조회, 리소스 생성(VM/VMSS/Blob), Budget·Alert 설정 권한</t>
  </si>
  <si>
    <t>사전 데이터</t>
  </si>
  <si>
    <t>finops-lab 동봉: out/focus-normalized.csv(FOCUS v1.3, Azure 행 필터), azure-export-sample.csv(Azure 네이티브), utilization-sample.csv(CPU/MEM). CMDB 보조 필요 시 강사 준비 CSV</t>
  </si>
  <si>
    <t>도구</t>
  </si>
  <si>
    <t>브라우저(Azure Portal), Pricing Calculator, 부하생성기(stress-ng/AB/Locust), CSV 편집 도구, (선택) Python+normalize.py/analyze_tags.py, M7 데모용 finops-lab 플러그인</t>
  </si>
  <si>
    <t>네트워크</t>
  </si>
  <si>
    <t>Azure Portal 접속 가능한 안정적 인터넷</t>
  </si>
  <si>
    <t>강의장</t>
  </si>
  <si>
    <t>■ 강사 프로필</t>
  </si>
  <si>
    <t>성명</t>
  </si>
  <si>
    <t>이해경</t>
  </si>
  <si>
    <t>소속</t>
  </si>
  <si>
    <t>유니콘주식회사 (CEO)</t>
  </si>
  <si>
    <t>핵심 역량</t>
  </si>
  <si>
    <t>① AI/GenAI: Claude·Claude Code·Cursor 활용 AI 기반 기획·설계·개발·배포 코칭, 머신러닝/딥러닝, 생성형 AI 서비스 기획
② Cloud Native: Docker·Kubernetes·Helm·Istio·ArgoCD·Spring Boot/Cloud 기반 개발/배포, DDD·Cloud Design Pattern 기반 MSA 설계
③ Agile Coaching: 팀빌딩·Lean Startup·Scrum·Kanban</t>
  </si>
  <si>
    <t>주요 강의 이력</t>
  </si>
  <si>
    <t>KTDS Digital Garage 1~5기(App Modernization), KB DigiTech Bootcamp/PO 연수/Agile Coaching,
비상교육·HANA·MetLife 기업 교육, 연세대 AI 최고경영자 과정 1~3기, AI 활용 PM 부트캠프 등</t>
  </si>
  <si>
    <t>자격/인증</t>
  </si>
  <si>
    <t>IBM Certified Agile Coach, PSM I, PMP, JTBD &amp; ODI Associates, IBM Certified Architect</t>
  </si>
  <si>
    <t>저서/활동</t>
  </si>
  <si>
    <t>저서 「마이크로서비스패턴 쉽게 개발하기」 / 블로그 '온달의 해피클라우드'(happycloud-lee.tistory.com) 약 79만 조회수</t>
  </si>
  <si>
    <t>교육 철학</t>
  </si>
  <si>
    <t>"실습으로 증명하고, 프로젝트로 완성하는 교육" — 실무 경험과 이론의 결합이 효과적 솔루션의 핵심이며, 개발자와 사용자의 직접 소통이 혁신을 이끈다고 봄</t>
  </si>
  <si>
    <t>연락처</t>
  </si>
  <si>
    <t>hiondal@gmail.com / 82-10-4095-4035</t>
  </si>
  <si>
    <t>커리큘럼 — Azure 클라우드 FinOps 실무 (8H / 09:00–17:00, 순 교육 400분 + 휴식·식사 80분)</t>
  </si>
  <si>
    <t>시간대</t>
  </si>
  <si>
    <t>모듈 / 세션</t>
  </si>
  <si>
    <t>학습목표</t>
  </si>
  <si>
    <t>이론/실습</t>
  </si>
  <si>
    <t>주요 실습내용</t>
  </si>
  <si>
    <t>사용 Azure 서비스</t>
  </si>
  <si>
    <t>소요(분)</t>
  </si>
  <si>
    <t>비고</t>
  </si>
  <si>
    <t>M1. WHY &amp; 성숙도 — FinOps 자리매김 (이론, 50분)</t>
  </si>
  <si>
    <t>09:00–09:30</t>
  </si>
  <si>
    <t>M1-S1 WHY·COVERS·3단계</t>
  </si>
  <si>
    <t>FinOps 정의·필요성·COVERS 6원칙·Inform→Optimize→Operate 순환 이해</t>
  </si>
  <si>
    <t>이론</t>
  </si>
  <si>
    <t>CapEx vs OpEx, COVERS, 3단계 순환 개념 강의</t>
  </si>
  <si>
    <t>–</t>
  </si>
  <si>
    <t>09:30–09:50</t>
  </si>
  <si>
    <t>M1-S2 성숙도 모델</t>
  </si>
  <si>
    <t>Crawl→Walk→Run 단계와 KT 현 위치 인식, Ownership×Capability 다차원 진단 개념</t>
  </si>
  <si>
    <t>성숙도 3단계, 2025 다차원 진단 개념</t>
  </si>
  <si>
    <t>09:50–10:00</t>
  </si>
  <si>
    <t>휴식</t>
  </si>
  <si>
    <t>M2. 보이기(Inform) — 비용·사용량 가시화 (이론 일부 + 실습, 155분)</t>
  </si>
  <si>
    <t>10:00–10:30</t>
  </si>
  <si>
    <t>M2-S1 태그·명명 거버넌스</t>
  </si>
  <si>
    <t>필수 태그 체계·명명 규칙 수립, 태그 정책 강제 이해</t>
  </si>
  <si>
    <t>이론+실습</t>
  </si>
  <si>
    <t>리소스에 Department/Project/Environment/Service/Owner 태그 부여</t>
  </si>
  <si>
    <t>Tags, Azure Policy(태그 강제)</t>
  </si>
  <si>
    <t>10:30–10:55</t>
  </si>
  <si>
    <t>M2-S2 비용 가시화 기초</t>
  </si>
  <si>
    <t>조직/서비스별 월간 비용·추이·증감 요소 시각화</t>
  </si>
  <si>
    <t>실습</t>
  </si>
  <si>
    <t>부서·서비스·태그별 필터·그룹화, 추이 차트 작성</t>
  </si>
  <si>
    <t>Cost Management — Cost analysis</t>
  </si>
  <si>
    <t>10:55–11:25</t>
  </si>
  <si>
    <t>M2-S3 이상비용 탐지·알림</t>
  </si>
  <si>
    <t>리소스 단위 이상탐지 설정→알림 수신→메시지 해석·증감 원인 파악</t>
  </si>
  <si>
    <t>Budget·Cost alert 생성, Anomaly 알림 수신, 메시지의 리소스/증감액/원인 태그 해석</t>
  </si>
  <si>
    <t>Budgets, Cost alerts, Cost anomaly</t>
  </si>
  <si>
    <t>11:25–11:50</t>
  </si>
  <si>
    <t>M2-S4 사용량(Usage) 전용 분석</t>
  </si>
  <si>
    <t>청구데이터에서 '비용'이 아닌 '사용량(Usage Quantity)'을 분리 분석</t>
  </si>
  <si>
    <t>FOCUS export의 UsageQuantity/ConsumedQuantity 컬럼을 Cost 컬럼과 분리하여 사용량 추이 분석</t>
  </si>
  <si>
    <t>Cost Management Exports(FOCUS)</t>
  </si>
  <si>
    <t>독립 세션</t>
  </si>
  <si>
    <t>11:50–12:20</t>
  </si>
  <si>
    <t>M2-S5 CMDB 조인 분석</t>
  </si>
  <si>
    <t>청구비용에 조직정보를 태그를 join key로 결합, 조직/서비스 비용 추이·현황 조회</t>
  </si>
  <si>
    <t>Azure 행(태그 포함)+CostCenter→조직 매핑(CC-100/200/300)을 Owner/CostCenter/Project 키로 join, 조직·서비스 단위 집계. 별도 CMDB는 강사 준비 CSV로 보강</t>
  </si>
  <si>
    <t>Cost Management Exports, Tags</t>
  </si>
  <si>
    <t>12:20–13:20</t>
  </si>
  <si>
    <t>점심</t>
  </si>
  <si>
    <t>13:20–13:35</t>
  </si>
  <si>
    <t>M2-S6 Inform 자가진단</t>
  </si>
  <si>
    <t>FinOps Capability 기반 Inform 현재 수준 자가진단</t>
  </si>
  <si>
    <t>Ownership×Capability 워크시트로 팀별 Inform 성숙도 점수화·강약점 도출</t>
  </si>
  <si>
    <t>진단 워크시트</t>
  </si>
  <si>
    <t>M3. 줄이기(Optimize)-1 — 스케일링 (이론 일부 + 실습, 60분)</t>
  </si>
  <si>
    <t>13:35–13:55</t>
  </si>
  <si>
    <t>M3-S1 VM vs VMSS 차이</t>
  </si>
  <si>
    <t>일반 단일 VM과 VMSS의 구조·비용·확장성 차이 명확화</t>
  </si>
  <si>
    <t>단일 VM 1대 vs VMSS 비교(수동 확장 vs 자동 확장, 비용 영향)</t>
  </si>
  <si>
    <t>Virtual Machines, VM Scale Sets</t>
  </si>
  <si>
    <t>MUST</t>
  </si>
  <si>
    <t>13:55–14:35</t>
  </si>
  <si>
    <t>M3-S2 VMSS Auto Scaling</t>
  </si>
  <si>
    <t>트래픽에 따른 VMSS Autoscale 룰 설정·동작 관찰</t>
  </si>
  <si>
    <t>VMSS에 CPU·요청 기반 Autoscale 룰 설정 → 부하생성기로 트래픽 유발 → 스케일아웃/인 관찰·비용 영향 확인</t>
  </si>
  <si>
    <t>VMSS Autoscale, Azure Monitor, 부하생성기(stress/AB/Locust)</t>
  </si>
  <si>
    <t>14:35–14:45</t>
  </si>
  <si>
    <t>M4. 줄이기(Optimize)-2 — Right-sizing (실습, 50분)</t>
  </si>
  <si>
    <t>14:45–15:00</t>
  </si>
  <si>
    <t>M4-S1 적정 SKU 판단법</t>
  </si>
  <si>
    <t>CPU 사용률 기반 VM/DB 적정 SKU(상품코드) 판단</t>
  </si>
  <si>
    <t>VM/DB 메트릭(평균 CPU&lt;40% 등) 관찰 → Advisor 권고 → 적정 SKU 3대안 비교·선정</t>
  </si>
  <si>
    <t>Azure Monitor 메트릭, Azure Advisor</t>
  </si>
  <si>
    <t>15:00–15:20</t>
  </si>
  <si>
    <t>M4-S2 Blob Tiering</t>
  </si>
  <si>
    <t>Blob Storage 데이터 유형별 Tiering 비용 최적화</t>
  </si>
  <si>
    <t>액세스 패턴별 Hot/Cool/Cold/Archive Tier 배치·수명주기 규칙, Tier별 단가 비교</t>
  </si>
  <si>
    <t>Blob Storage, Lifecycle management, Pricing Calculator</t>
  </si>
  <si>
    <t>15:20–15:35</t>
  </si>
  <si>
    <t>M4-S3 Spot 혼합 전략</t>
  </si>
  <si>
    <t>VM Spot 인스턴스 혼합으로 비용 극소화</t>
  </si>
  <si>
    <t>Spot VM/VMSS Spot 생성, 회수 위험·할인율 관찰, 베이스라인+Spot 혼합 설계</t>
  </si>
  <si>
    <t>Azure Spot VM, VMSS Spot, Pricing Calculator</t>
  </si>
  <si>
    <t>M5. 줄이기(Optimize)-3 — 약정 전략 (실습, 30분)</t>
  </si>
  <si>
    <t>15:35–15:53</t>
  </si>
  <si>
    <t>M5-S1 할인 대상 판별</t>
  </si>
  <si>
    <t>내가 쓰는 제품이 Reservations/Savings Plans 할인 대상인지 알아내는 법</t>
  </si>
  <si>
    <t>사용 SKU·리전 확인 → Reservations 권고·Advisor에서 대상 여부·예상 절감 확인</t>
  </si>
  <si>
    <t>Azure Advisor, Reservations 권고</t>
  </si>
  <si>
    <t>15:53–16:05</t>
  </si>
  <si>
    <t>M5-S2 약정 구매 절차</t>
  </si>
  <si>
    <t>RI/SP 구매하는 법(시뮬레이션)</t>
  </si>
  <si>
    <t>약정 기간·범위(공유/단일)·결제옵션 선택 플로우, Amortized 분배 개념(결제 미수행)</t>
  </si>
  <si>
    <t>Azure Reservations, Savings Plans for compute</t>
  </si>
  <si>
    <t>M6. 체계화(Operate) — 단위경제 KPI &amp; 협업 문화 (이론 일부 + 실습, 20분)</t>
  </si>
  <si>
    <t>16:05–16:25</t>
  </si>
  <si>
    <t>M6 단위경제 KPI &amp; 협업(S1~S5)</t>
  </si>
  <si>
    <t>S1 단위경제 KPI 수립 / S2 Capability 구성요소 / S3 Persona별 역할 / S4 PO·BA의 FinOps 범위 / S5 타사 실행 사례</t>
  </si>
  <si>
    <t>S1 비용÷트래픽·비용÷vCPU 계산 실습 &amp; KPI 대시보드 설계 / S2~S5 역량·Persona·PO·BA 범위·타사 사례 개념 정리</t>
  </si>
  <si>
    <t>Cost Management 데이터 + KPI 계산</t>
  </si>
  <si>
    <t>S1~S5 통합</t>
  </si>
  <si>
    <t>M7. 종합실습 &amp; 플러그인 데모 (실습, 35분)</t>
  </si>
  <si>
    <t>16:25–16:40</t>
  </si>
  <si>
    <t>M7-S1 종합 실습</t>
  </si>
  <si>
    <t>Inform→Optimize→Operate 흐름을 한 시나리오로 연결</t>
  </si>
  <si>
    <t>샘플 비용 시나리오로 가시화→최적화 권고→KPI 산출 통합 수행</t>
  </si>
  <si>
    <t>Cost Management(샘플 시나리오)</t>
  </si>
  <si>
    <t>16:40–17:00</t>
  </si>
  <si>
    <t>M7-S2 FinOps 플러그인 데모</t>
  </si>
  <si>
    <t>finops-lab 플러그인의 실제 명령 시퀀스 시연·따라하기(Azure 행 필터 한정)</t>
  </si>
  <si>
    <t>/finops:why-finops→inform→optimize→operate→review 5단계로 why-statement·dashboard·rightsize-plan·commit-strategy·review-report 생성. 멀티클라우드 산출물은 ServiceProviderName=Azure 행만 필터해 시연</t>
  </si>
  <si>
    <t>finops-lab(why-finops/inform/optimize/operate/review)</t>
  </si>
  <si>
    <t>마무리</t>
  </si>
  <si>
    <t>순 교육 400분 / 휴식·식사 80분 / 총 480분 (이론:실습 ≈ 34:66, 순수 실습 265분)</t>
  </si>
  <si>
    <t>480분</t>
  </si>
  <si>
    <t>[범례]  MUST = 필수 실습(합격 요건) · 독립 세션 = '묻히기 쉬운 항목' 별도 분리 세션 · '–' = 해당 없음</t>
  </si>
  <si>
    <t>[MUST 보호] M3-S1·M3-S2(MUST 2종, 합 60분)를 오후 핵심 시간대에 정규 배정함</t>
  </si>
  <si>
    <t>[AKS 운영 방침] M3-S3 AKS Auto Scaling(선택)은 고정 슬롯 없이, 전체 진도 여유 시 M3-S2 직후 10분 내 간이 시연으로만 진행함 (MUST 실습 시간 침해 금지)</t>
  </si>
  <si>
    <t>[이론:실습 검증] 순수 실습 265분 = 순 교육 400분의 약 66% (M2-S2·S3·S4·S5 + M3-S2 + M4 전체 + M5 전체 + M7 전체)</t>
  </si>
  <si>
    <t>12~20명</t>
    <phoneticPr fontId="9" type="noConversion"/>
  </si>
  <si>
    <t>Azure 100% 특화</t>
    <phoneticPr fontId="9" type="noConversion"/>
  </si>
  <si>
    <t>MS 공식 예제 데이터 사용: 합법적 대체 데이터(라이브 구독·FOCUS 샘플·Pricing Calculator)로 실습</t>
    <phoneticPr fontId="9" type="noConversion"/>
  </si>
  <si>
    <t>플러그인 종합 데모: 마지막에 finops-lab 플러그인(why-finops→inform→optimize→operate→review)으로 전체 흐름 실습</t>
    <phoneticPr fontId="9" type="noConversion"/>
  </si>
  <si>
    <t xml:space="preserve">수강생별 Azure 구독(Free/평가판) </t>
    <phoneticPr fontId="9" type="noConversion"/>
  </si>
  <si>
    <t>1인 1PC, 빔프로젝터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</si>
</sst>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scheme val="minor"/>
    </font>
    <font>
      <sz val="10"/>
      <color rgb="FF333333"/>
      <name val="맑은 고딕"/>
      <family val="3"/>
      <charset val="129"/>
    </font>
    <font>
      <b/>
      <sz val="20"/>
      <color rgb="FFFFFFFF"/>
      <name val="맑은 고딕"/>
      <family val="3"/>
      <charset val="129"/>
    </font>
    <font>
      <sz val="12"/>
      <color rgb="FFFFFFFF"/>
      <name val="맑은 고딕"/>
      <family val="3"/>
      <charset val="129"/>
    </font>
    <font>
      <b/>
      <sz val="13"/>
      <color rgb="FFFFFFFF"/>
      <name val="맑은 고딕"/>
      <family val="3"/>
      <charset val="129"/>
    </font>
    <font>
      <b/>
      <sz val="10"/>
      <color rgb="FF1B5E20"/>
      <name val="맑은 고딕"/>
      <family val="3"/>
      <charset val="129"/>
    </font>
    <font>
      <b/>
      <sz val="10"/>
      <color rgb="FF333333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0"/>
      <color rgb="FF2E7D32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B5E20"/>
        <bgColor rgb="FF1B5E20"/>
      </patternFill>
    </fill>
    <fill>
      <patternFill patternType="solid">
        <fgColor rgb="FFE8F5E9"/>
        <bgColor rgb="FFE8F5E9"/>
      </patternFill>
    </fill>
    <fill>
      <patternFill patternType="solid">
        <fgColor rgb="FFC8E6C9"/>
        <bgColor rgb="FFC8E6C9"/>
      </patternFill>
    </fill>
    <fill>
      <patternFill patternType="solid">
        <fgColor rgb="FF2E7D32"/>
        <bgColor rgb="FF2E7D32"/>
      </patternFill>
    </fill>
    <fill>
      <patternFill patternType="solid">
        <fgColor rgb="FFF5F5F5"/>
        <bgColor rgb="FFF5F5F5"/>
      </patternFill>
    </fill>
  </fills>
  <borders count="4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5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9" fontId="6" fillId="2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9" fontId="6" fillId="5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2" xfId="0" applyBorder="1"/>
    <xf numFmtId="0" fontId="5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3"/>
  <sheetViews>
    <sheetView topLeftCell="A32" zoomScale="120" zoomScaleNormal="120" workbookViewId="0">
      <selection activeCell="C42" sqref="C42:F42"/>
    </sheetView>
  </sheetViews>
  <sheetFormatPr defaultRowHeight="17" x14ac:dyDescent="0.45"/>
  <cols>
    <col min="1" max="1" width="2.5" customWidth="1"/>
    <col min="2" max="2" width="18" customWidth="1"/>
    <col min="3" max="3" width="5" customWidth="1"/>
    <col min="4" max="4" width="46" customWidth="1"/>
    <col min="5" max="5" width="16" customWidth="1"/>
    <col min="6" max="6" width="30" customWidth="1"/>
  </cols>
  <sheetData>
    <row r="1" spans="1:6" ht="40" customHeight="1" x14ac:dyDescent="0.45">
      <c r="A1" s="23" t="s">
        <v>0</v>
      </c>
      <c r="B1" s="16"/>
      <c r="C1" s="16"/>
      <c r="D1" s="16"/>
      <c r="E1" s="16"/>
      <c r="F1" s="15"/>
    </row>
    <row r="2" spans="1:6" ht="24" customHeight="1" x14ac:dyDescent="0.45">
      <c r="A2" s="19" t="s">
        <v>1</v>
      </c>
      <c r="B2" s="16"/>
      <c r="C2" s="16"/>
      <c r="D2" s="16"/>
      <c r="E2" s="16"/>
      <c r="F2" s="15"/>
    </row>
    <row r="3" spans="1:6" ht="22" customHeight="1" x14ac:dyDescent="0.45">
      <c r="A3" s="18" t="s">
        <v>2</v>
      </c>
      <c r="B3" s="16"/>
      <c r="C3" s="16"/>
      <c r="D3" s="16"/>
      <c r="E3" s="16"/>
      <c r="F3" s="15"/>
    </row>
    <row r="4" spans="1:6" ht="20" customHeight="1" x14ac:dyDescent="0.45">
      <c r="A4" s="17" t="s">
        <v>3</v>
      </c>
      <c r="B4" s="15"/>
      <c r="C4" s="14" t="s">
        <v>4</v>
      </c>
      <c r="D4" s="16"/>
      <c r="E4" s="16"/>
      <c r="F4" s="15"/>
    </row>
    <row r="5" spans="1:6" ht="20" customHeight="1" x14ac:dyDescent="0.45">
      <c r="A5" s="17" t="s">
        <v>5</v>
      </c>
      <c r="B5" s="15"/>
      <c r="C5" s="14" t="s">
        <v>6</v>
      </c>
      <c r="D5" s="15"/>
      <c r="E5" s="1" t="s">
        <v>7</v>
      </c>
      <c r="F5" s="2" t="s">
        <v>8</v>
      </c>
    </row>
    <row r="6" spans="1:6" ht="20" customHeight="1" x14ac:dyDescent="0.45">
      <c r="A6" s="17" t="s">
        <v>9</v>
      </c>
      <c r="B6" s="15"/>
      <c r="C6" s="14" t="s">
        <v>10</v>
      </c>
      <c r="D6" s="15"/>
      <c r="E6" s="1" t="s">
        <v>11</v>
      </c>
      <c r="F6" s="2" t="s">
        <v>12</v>
      </c>
    </row>
    <row r="7" spans="1:6" ht="20" customHeight="1" x14ac:dyDescent="0.45">
      <c r="A7" s="17" t="s">
        <v>13</v>
      </c>
      <c r="B7" s="15"/>
      <c r="C7" s="14" t="s">
        <v>202</v>
      </c>
      <c r="D7" s="15"/>
      <c r="E7" s="1" t="s">
        <v>14</v>
      </c>
      <c r="F7" s="2" t="s">
        <v>15</v>
      </c>
    </row>
    <row r="8" spans="1:6" ht="20" customHeight="1" x14ac:dyDescent="0.45">
      <c r="A8" s="17" t="s">
        <v>16</v>
      </c>
      <c r="B8" s="15"/>
      <c r="C8" s="14" t="s">
        <v>17</v>
      </c>
      <c r="D8" s="16"/>
      <c r="E8" s="16"/>
      <c r="F8" s="15"/>
    </row>
    <row r="9" spans="1:6" ht="30" customHeight="1" x14ac:dyDescent="0.45">
      <c r="A9" s="17" t="s">
        <v>18</v>
      </c>
      <c r="B9" s="15"/>
      <c r="C9" s="14" t="s">
        <v>19</v>
      </c>
      <c r="D9" s="16"/>
      <c r="E9" s="16"/>
      <c r="F9" s="15"/>
    </row>
    <row r="10" spans="1:6" ht="64" customHeight="1" x14ac:dyDescent="0.45">
      <c r="A10" s="17" t="s">
        <v>20</v>
      </c>
      <c r="B10" s="15"/>
      <c r="C10" s="14" t="s">
        <v>21</v>
      </c>
      <c r="D10" s="16"/>
      <c r="E10" s="16"/>
      <c r="F10" s="15"/>
    </row>
    <row r="11" spans="1:6" ht="22" customHeight="1" x14ac:dyDescent="0.45">
      <c r="A11" s="18" t="s">
        <v>22</v>
      </c>
      <c r="B11" s="16"/>
      <c r="C11" s="16"/>
      <c r="D11" s="16"/>
      <c r="E11" s="16"/>
      <c r="F11" s="15"/>
    </row>
    <row r="12" spans="1:6" ht="30" customHeight="1" x14ac:dyDescent="0.45">
      <c r="A12" s="2"/>
      <c r="B12" s="3" t="s">
        <v>23</v>
      </c>
      <c r="C12" s="14" t="s">
        <v>203</v>
      </c>
      <c r="D12" s="16"/>
      <c r="E12" s="16"/>
      <c r="F12" s="15"/>
    </row>
    <row r="13" spans="1:6" ht="30" customHeight="1" x14ac:dyDescent="0.45">
      <c r="A13" s="2"/>
      <c r="B13" s="3" t="s">
        <v>24</v>
      </c>
      <c r="C13" s="14" t="s">
        <v>25</v>
      </c>
      <c r="D13" s="16"/>
      <c r="E13" s="16"/>
      <c r="F13" s="15"/>
    </row>
    <row r="14" spans="1:6" ht="30" customHeight="1" x14ac:dyDescent="0.45">
      <c r="A14" s="2"/>
      <c r="B14" s="3" t="s">
        <v>26</v>
      </c>
      <c r="C14" s="14" t="s">
        <v>27</v>
      </c>
      <c r="D14" s="16"/>
      <c r="E14" s="16"/>
      <c r="F14" s="15"/>
    </row>
    <row r="15" spans="1:6" ht="30" customHeight="1" x14ac:dyDescent="0.45">
      <c r="A15" s="2"/>
      <c r="B15" s="3" t="s">
        <v>28</v>
      </c>
      <c r="C15" s="14" t="s">
        <v>204</v>
      </c>
      <c r="D15" s="16"/>
      <c r="E15" s="16"/>
      <c r="F15" s="15"/>
    </row>
    <row r="16" spans="1:6" ht="30" customHeight="1" x14ac:dyDescent="0.45">
      <c r="A16" s="2"/>
      <c r="B16" s="3" t="s">
        <v>29</v>
      </c>
      <c r="C16" s="14" t="s">
        <v>205</v>
      </c>
      <c r="D16" s="16"/>
      <c r="E16" s="16"/>
      <c r="F16" s="15"/>
    </row>
    <row r="17" spans="1:6" ht="22" customHeight="1" x14ac:dyDescent="0.45">
      <c r="A17" s="18" t="s">
        <v>30</v>
      </c>
      <c r="B17" s="16"/>
      <c r="C17" s="16"/>
      <c r="D17" s="16"/>
      <c r="E17" s="16"/>
      <c r="F17" s="15"/>
    </row>
    <row r="18" spans="1:6" ht="30" customHeight="1" x14ac:dyDescent="0.45">
      <c r="A18" s="2"/>
      <c r="B18" s="1" t="s">
        <v>31</v>
      </c>
      <c r="C18" s="14" t="s">
        <v>32</v>
      </c>
      <c r="D18" s="16"/>
      <c r="E18" s="16"/>
      <c r="F18" s="15"/>
    </row>
    <row r="19" spans="1:6" ht="30" customHeight="1" x14ac:dyDescent="0.45">
      <c r="A19" s="2"/>
      <c r="B19" s="1" t="s">
        <v>33</v>
      </c>
      <c r="C19" s="14" t="s">
        <v>34</v>
      </c>
      <c r="D19" s="16"/>
      <c r="E19" s="16"/>
      <c r="F19" s="15"/>
    </row>
    <row r="20" spans="1:6" ht="30" customHeight="1" x14ac:dyDescent="0.45">
      <c r="A20" s="2"/>
      <c r="B20" s="1" t="s">
        <v>35</v>
      </c>
      <c r="C20" s="14" t="s">
        <v>36</v>
      </c>
      <c r="D20" s="16"/>
      <c r="E20" s="16"/>
      <c r="F20" s="15"/>
    </row>
    <row r="21" spans="1:6" ht="22" customHeight="1" x14ac:dyDescent="0.45">
      <c r="A21" s="18" t="s">
        <v>37</v>
      </c>
      <c r="B21" s="16"/>
      <c r="C21" s="16"/>
      <c r="D21" s="16"/>
      <c r="E21" s="16"/>
      <c r="F21" s="15"/>
    </row>
    <row r="22" spans="1:6" ht="22" customHeight="1" x14ac:dyDescent="0.45">
      <c r="A22" s="2"/>
      <c r="B22" s="20" t="s">
        <v>38</v>
      </c>
      <c r="C22" s="15"/>
      <c r="D22" s="20" t="s">
        <v>39</v>
      </c>
      <c r="E22" s="15"/>
      <c r="F22" s="4" t="s">
        <v>40</v>
      </c>
    </row>
    <row r="23" spans="1:6" ht="30" customHeight="1" x14ac:dyDescent="0.45">
      <c r="A23" s="2"/>
      <c r="B23" s="14" t="s">
        <v>41</v>
      </c>
      <c r="C23" s="15"/>
      <c r="D23" s="14" t="s">
        <v>42</v>
      </c>
      <c r="E23" s="15"/>
      <c r="F23" s="5">
        <v>0.5</v>
      </c>
    </row>
    <row r="24" spans="1:6" ht="30" customHeight="1" x14ac:dyDescent="0.45">
      <c r="A24" s="2"/>
      <c r="B24" s="14" t="s">
        <v>43</v>
      </c>
      <c r="C24" s="15"/>
      <c r="D24" s="14" t="s">
        <v>44</v>
      </c>
      <c r="E24" s="15"/>
      <c r="F24" s="5">
        <v>0.2</v>
      </c>
    </row>
    <row r="25" spans="1:6" ht="20" customHeight="1" x14ac:dyDescent="0.45">
      <c r="A25" s="2"/>
      <c r="B25" s="14" t="s">
        <v>45</v>
      </c>
      <c r="C25" s="15"/>
      <c r="D25" s="14" t="s">
        <v>46</v>
      </c>
      <c r="E25" s="15"/>
      <c r="F25" s="5">
        <v>0.2</v>
      </c>
    </row>
    <row r="26" spans="1:6" ht="20" customHeight="1" x14ac:dyDescent="0.45">
      <c r="A26" s="2"/>
      <c r="B26" s="14" t="s">
        <v>47</v>
      </c>
      <c r="C26" s="15"/>
      <c r="D26" s="14" t="s">
        <v>48</v>
      </c>
      <c r="E26" s="15"/>
      <c r="F26" s="5">
        <v>0.1</v>
      </c>
    </row>
    <row r="27" spans="1:6" ht="22" customHeight="1" x14ac:dyDescent="0.45">
      <c r="A27" s="2"/>
      <c r="B27" s="21" t="s">
        <v>49</v>
      </c>
      <c r="C27" s="15"/>
      <c r="D27" s="22" t="s">
        <v>50</v>
      </c>
      <c r="E27" s="15"/>
      <c r="F27" s="7">
        <f>SUM(F23:F26)</f>
        <v>0.99999999999999989</v>
      </c>
    </row>
    <row r="28" spans="1:6" ht="22" customHeight="1" x14ac:dyDescent="0.45">
      <c r="A28" s="18" t="s">
        <v>51</v>
      </c>
      <c r="B28" s="16"/>
      <c r="C28" s="16"/>
      <c r="D28" s="16"/>
      <c r="E28" s="16"/>
      <c r="F28" s="15"/>
    </row>
    <row r="29" spans="1:6" ht="20" customHeight="1" x14ac:dyDescent="0.45">
      <c r="A29" s="2"/>
      <c r="B29" s="1" t="s">
        <v>52</v>
      </c>
      <c r="C29" s="14" t="s">
        <v>206</v>
      </c>
      <c r="D29" s="16"/>
      <c r="E29" s="16"/>
      <c r="F29" s="15"/>
    </row>
    <row r="30" spans="1:6" ht="30" customHeight="1" x14ac:dyDescent="0.45">
      <c r="A30" s="2"/>
      <c r="B30" s="1" t="s">
        <v>53</v>
      </c>
      <c r="C30" s="14" t="s">
        <v>54</v>
      </c>
      <c r="D30" s="16"/>
      <c r="E30" s="16"/>
      <c r="F30" s="15"/>
    </row>
    <row r="31" spans="1:6" ht="45" customHeight="1" x14ac:dyDescent="0.45">
      <c r="A31" s="2"/>
      <c r="B31" s="1" t="s">
        <v>55</v>
      </c>
      <c r="C31" s="14" t="s">
        <v>56</v>
      </c>
      <c r="D31" s="16"/>
      <c r="E31" s="16"/>
      <c r="F31" s="15"/>
    </row>
    <row r="32" spans="1:6" ht="45" customHeight="1" x14ac:dyDescent="0.45">
      <c r="A32" s="2"/>
      <c r="B32" s="1" t="s">
        <v>57</v>
      </c>
      <c r="C32" s="14" t="s">
        <v>58</v>
      </c>
      <c r="D32" s="16"/>
      <c r="E32" s="16"/>
      <c r="F32" s="15"/>
    </row>
    <row r="33" spans="1:6" ht="20" customHeight="1" x14ac:dyDescent="0.45">
      <c r="A33" s="2"/>
      <c r="B33" s="1" t="s">
        <v>59</v>
      </c>
      <c r="C33" s="14" t="s">
        <v>60</v>
      </c>
      <c r="D33" s="16"/>
      <c r="E33" s="16"/>
      <c r="F33" s="15"/>
    </row>
    <row r="34" spans="1:6" ht="20" customHeight="1" x14ac:dyDescent="0.45">
      <c r="A34" s="2"/>
      <c r="B34" s="1" t="s">
        <v>61</v>
      </c>
      <c r="C34" s="14" t="s">
        <v>207</v>
      </c>
      <c r="D34" s="16"/>
      <c r="E34" s="16"/>
      <c r="F34" s="15"/>
    </row>
    <row r="35" spans="1:6" ht="22" customHeight="1" x14ac:dyDescent="0.45">
      <c r="A35" s="18" t="s">
        <v>62</v>
      </c>
      <c r="B35" s="16"/>
      <c r="C35" s="16"/>
      <c r="D35" s="16"/>
      <c r="E35" s="16"/>
      <c r="F35" s="15"/>
    </row>
    <row r="36" spans="1:6" ht="20" customHeight="1" x14ac:dyDescent="0.45">
      <c r="A36" s="2"/>
      <c r="B36" s="1" t="s">
        <v>63</v>
      </c>
      <c r="C36" s="14" t="s">
        <v>64</v>
      </c>
      <c r="D36" s="16"/>
      <c r="E36" s="16"/>
      <c r="F36" s="15"/>
    </row>
    <row r="37" spans="1:6" ht="20" customHeight="1" x14ac:dyDescent="0.45">
      <c r="A37" s="2"/>
      <c r="B37" s="1" t="s">
        <v>65</v>
      </c>
      <c r="C37" s="14" t="s">
        <v>66</v>
      </c>
      <c r="D37" s="16"/>
      <c r="E37" s="16"/>
      <c r="F37" s="15"/>
    </row>
    <row r="38" spans="1:6" ht="78" customHeight="1" x14ac:dyDescent="0.45">
      <c r="A38" s="2"/>
      <c r="B38" s="1" t="s">
        <v>67</v>
      </c>
      <c r="C38" s="14" t="s">
        <v>68</v>
      </c>
      <c r="D38" s="16"/>
      <c r="E38" s="16"/>
      <c r="F38" s="15"/>
    </row>
    <row r="39" spans="1:6" ht="60" customHeight="1" x14ac:dyDescent="0.45">
      <c r="A39" s="2"/>
      <c r="B39" s="1" t="s">
        <v>69</v>
      </c>
      <c r="C39" s="14" t="s">
        <v>70</v>
      </c>
      <c r="D39" s="16"/>
      <c r="E39" s="16"/>
      <c r="F39" s="15"/>
    </row>
    <row r="40" spans="1:6" ht="30" customHeight="1" x14ac:dyDescent="0.45">
      <c r="A40" s="2"/>
      <c r="B40" s="1" t="s">
        <v>71</v>
      </c>
      <c r="C40" s="14" t="s">
        <v>72</v>
      </c>
      <c r="D40" s="16"/>
      <c r="E40" s="16"/>
      <c r="F40" s="15"/>
    </row>
    <row r="41" spans="1:6" ht="30" customHeight="1" x14ac:dyDescent="0.45">
      <c r="A41" s="2"/>
      <c r="B41" s="1" t="s">
        <v>73</v>
      </c>
      <c r="C41" s="14" t="s">
        <v>74</v>
      </c>
      <c r="D41" s="16"/>
      <c r="E41" s="16"/>
      <c r="F41" s="15"/>
    </row>
    <row r="42" spans="1:6" ht="45" customHeight="1" x14ac:dyDescent="0.45">
      <c r="A42" s="2"/>
      <c r="B42" s="1" t="s">
        <v>75</v>
      </c>
      <c r="C42" s="14" t="s">
        <v>76</v>
      </c>
      <c r="D42" s="16"/>
      <c r="E42" s="16"/>
      <c r="F42" s="15"/>
    </row>
    <row r="43" spans="1:6" ht="20" customHeight="1" x14ac:dyDescent="0.45">
      <c r="A43" s="2"/>
      <c r="B43" s="1" t="s">
        <v>77</v>
      </c>
      <c r="C43" s="14" t="s">
        <v>78</v>
      </c>
      <c r="D43" s="16"/>
      <c r="E43" s="16"/>
      <c r="F43" s="15"/>
    </row>
  </sheetData>
  <mergeCells count="56">
    <mergeCell ref="A1:F1"/>
    <mergeCell ref="C42:F42"/>
    <mergeCell ref="A10:B10"/>
    <mergeCell ref="D22:E22"/>
    <mergeCell ref="C20:F20"/>
    <mergeCell ref="B25:C25"/>
    <mergeCell ref="A9:B9"/>
    <mergeCell ref="D25:E25"/>
    <mergeCell ref="C43:F43"/>
    <mergeCell ref="A4:B4"/>
    <mergeCell ref="D24:E24"/>
    <mergeCell ref="C9:F9"/>
    <mergeCell ref="B23:C23"/>
    <mergeCell ref="C30:F30"/>
    <mergeCell ref="C39:F39"/>
    <mergeCell ref="C7:D7"/>
    <mergeCell ref="D23:E23"/>
    <mergeCell ref="A35:F35"/>
    <mergeCell ref="C41:F41"/>
    <mergeCell ref="A28:F28"/>
    <mergeCell ref="C13:F13"/>
    <mergeCell ref="C34:F34"/>
    <mergeCell ref="C4:F4"/>
    <mergeCell ref="C19:F19"/>
    <mergeCell ref="A5:B5"/>
    <mergeCell ref="B27:C27"/>
    <mergeCell ref="C15:F15"/>
    <mergeCell ref="D27:E27"/>
    <mergeCell ref="C10:F10"/>
    <mergeCell ref="C40:F40"/>
    <mergeCell ref="A8:B8"/>
    <mergeCell ref="A2:F2"/>
    <mergeCell ref="A7:B7"/>
    <mergeCell ref="C33:F33"/>
    <mergeCell ref="D26:E26"/>
    <mergeCell ref="B22:C22"/>
    <mergeCell ref="C29:F29"/>
    <mergeCell ref="A21:F21"/>
    <mergeCell ref="C14:F14"/>
    <mergeCell ref="C32:F32"/>
    <mergeCell ref="A3:F3"/>
    <mergeCell ref="C18:F18"/>
    <mergeCell ref="B26:C26"/>
    <mergeCell ref="C36:F36"/>
    <mergeCell ref="A6:B6"/>
    <mergeCell ref="C12:F12"/>
    <mergeCell ref="C5:D5"/>
    <mergeCell ref="C37:F37"/>
    <mergeCell ref="A11:F11"/>
    <mergeCell ref="A17:F17"/>
    <mergeCell ref="C31:F31"/>
    <mergeCell ref="C6:D6"/>
    <mergeCell ref="C16:F16"/>
    <mergeCell ref="C38:F38"/>
    <mergeCell ref="C8:F8"/>
    <mergeCell ref="B24:C24"/>
  </mergeCells>
  <phoneticPr fontId="9" type="noConversion"/>
  <pageMargins left="0.5" right="0.5" top="0.5" bottom="0.5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35"/>
  <sheetViews>
    <sheetView tabSelected="1" zoomScale="120" zoomScaleNormal="120" workbookViewId="0">
      <pane xSplit="1" ySplit="2" topLeftCell="B3" activePane="bottomRight" state="frozen"/>
      <selection pane="topRight"/>
      <selection pane="bottomLeft"/>
      <selection pane="bottomRight" activeCell="D4" sqref="D4"/>
    </sheetView>
  </sheetViews>
  <sheetFormatPr defaultRowHeight="17" x14ac:dyDescent="0.45"/>
  <cols>
    <col min="1" max="1" width="2" customWidth="1"/>
    <col min="2" max="2" width="12" customWidth="1"/>
    <col min="3" max="3" width="16" customWidth="1"/>
    <col min="4" max="4" width="30" customWidth="1"/>
    <col min="5" max="5" width="8" customWidth="1"/>
    <col min="6" max="6" width="38" customWidth="1"/>
    <col min="7" max="7" width="22" customWidth="1"/>
    <col min="8" max="8" width="7" customWidth="1"/>
    <col min="9" max="9" width="9" customWidth="1"/>
  </cols>
  <sheetData>
    <row r="1" spans="1:9" ht="34" customHeight="1" x14ac:dyDescent="0.45">
      <c r="A1" s="18" t="s">
        <v>79</v>
      </c>
      <c r="B1" s="16"/>
      <c r="C1" s="16"/>
      <c r="D1" s="16"/>
      <c r="E1" s="16"/>
      <c r="F1" s="16"/>
      <c r="G1" s="16"/>
      <c r="H1" s="16"/>
      <c r="I1" s="15"/>
    </row>
    <row r="2" spans="1:9" ht="24" customHeight="1" x14ac:dyDescent="0.45">
      <c r="A2" s="4"/>
      <c r="B2" s="4" t="s">
        <v>80</v>
      </c>
      <c r="C2" s="4" t="s">
        <v>81</v>
      </c>
      <c r="D2" s="4" t="s">
        <v>82</v>
      </c>
      <c r="E2" s="4" t="s">
        <v>83</v>
      </c>
      <c r="F2" s="4" t="s">
        <v>84</v>
      </c>
      <c r="G2" s="4" t="s">
        <v>85</v>
      </c>
      <c r="H2" s="4" t="s">
        <v>86</v>
      </c>
      <c r="I2" s="4" t="s">
        <v>87</v>
      </c>
    </row>
    <row r="3" spans="1:9" ht="22" customHeight="1" x14ac:dyDescent="0.45">
      <c r="A3" s="2"/>
      <c r="B3" s="25" t="s">
        <v>88</v>
      </c>
      <c r="C3" s="16"/>
      <c r="D3" s="16"/>
      <c r="E3" s="16"/>
      <c r="F3" s="16"/>
      <c r="G3" s="16"/>
      <c r="H3" s="16"/>
      <c r="I3" s="15"/>
    </row>
    <row r="4" spans="1:9" ht="45" customHeight="1" x14ac:dyDescent="0.45">
      <c r="A4" s="2"/>
      <c r="B4" s="8" t="s">
        <v>89</v>
      </c>
      <c r="C4" s="9" t="s">
        <v>90</v>
      </c>
      <c r="D4" s="2" t="s">
        <v>91</v>
      </c>
      <c r="E4" s="8" t="s">
        <v>92</v>
      </c>
      <c r="F4" s="2" t="s">
        <v>93</v>
      </c>
      <c r="G4" s="2" t="s">
        <v>94</v>
      </c>
      <c r="H4" s="8">
        <v>30</v>
      </c>
      <c r="I4" s="8"/>
    </row>
    <row r="5" spans="1:9" ht="45" customHeight="1" x14ac:dyDescent="0.45">
      <c r="A5" s="2"/>
      <c r="B5" s="8" t="s">
        <v>95</v>
      </c>
      <c r="C5" s="9" t="s">
        <v>96</v>
      </c>
      <c r="D5" s="2" t="s">
        <v>97</v>
      </c>
      <c r="E5" s="8" t="s">
        <v>92</v>
      </c>
      <c r="F5" s="2" t="s">
        <v>98</v>
      </c>
      <c r="G5" s="2" t="s">
        <v>94</v>
      </c>
      <c r="H5" s="8">
        <v>20</v>
      </c>
      <c r="I5" s="8"/>
    </row>
    <row r="6" spans="1:9" ht="20" customHeight="1" x14ac:dyDescent="0.45">
      <c r="A6" s="2"/>
      <c r="B6" s="10" t="s">
        <v>99</v>
      </c>
      <c r="C6" s="26" t="s">
        <v>100</v>
      </c>
      <c r="D6" s="16"/>
      <c r="E6" s="16"/>
      <c r="F6" s="16"/>
      <c r="G6" s="15"/>
      <c r="H6" s="10">
        <v>10</v>
      </c>
      <c r="I6" s="10"/>
    </row>
    <row r="7" spans="1:9" ht="22" customHeight="1" x14ac:dyDescent="0.45">
      <c r="A7" s="2"/>
      <c r="B7" s="25" t="s">
        <v>101</v>
      </c>
      <c r="C7" s="16"/>
      <c r="D7" s="16"/>
      <c r="E7" s="16"/>
      <c r="F7" s="16"/>
      <c r="G7" s="16"/>
      <c r="H7" s="16"/>
      <c r="I7" s="15"/>
    </row>
    <row r="8" spans="1:9" ht="45" customHeight="1" x14ac:dyDescent="0.45">
      <c r="A8" s="2"/>
      <c r="B8" s="8" t="s">
        <v>102</v>
      </c>
      <c r="C8" s="9" t="s">
        <v>103</v>
      </c>
      <c r="D8" s="2" t="s">
        <v>104</v>
      </c>
      <c r="E8" s="8" t="s">
        <v>105</v>
      </c>
      <c r="F8" s="2" t="s">
        <v>106</v>
      </c>
      <c r="G8" s="2" t="s">
        <v>107</v>
      </c>
      <c r="H8" s="8">
        <v>30</v>
      </c>
      <c r="I8" s="8"/>
    </row>
    <row r="9" spans="1:9" ht="45" customHeight="1" x14ac:dyDescent="0.45">
      <c r="A9" s="2"/>
      <c r="B9" s="8" t="s">
        <v>108</v>
      </c>
      <c r="C9" s="9" t="s">
        <v>109</v>
      </c>
      <c r="D9" s="2" t="s">
        <v>110</v>
      </c>
      <c r="E9" s="8" t="s">
        <v>111</v>
      </c>
      <c r="F9" s="2" t="s">
        <v>112</v>
      </c>
      <c r="G9" s="2" t="s">
        <v>113</v>
      </c>
      <c r="H9" s="8">
        <v>25</v>
      </c>
      <c r="I9" s="8"/>
    </row>
    <row r="10" spans="1:9" ht="60" customHeight="1" x14ac:dyDescent="0.45">
      <c r="A10" s="2"/>
      <c r="B10" s="8" t="s">
        <v>114</v>
      </c>
      <c r="C10" s="9" t="s">
        <v>115</v>
      </c>
      <c r="D10" s="2" t="s">
        <v>116</v>
      </c>
      <c r="E10" s="8" t="s">
        <v>111</v>
      </c>
      <c r="F10" s="2" t="s">
        <v>117</v>
      </c>
      <c r="G10" s="2" t="s">
        <v>118</v>
      </c>
      <c r="H10" s="8">
        <v>30</v>
      </c>
      <c r="I10" s="8"/>
    </row>
    <row r="11" spans="1:9" ht="60" customHeight="1" x14ac:dyDescent="0.45">
      <c r="A11" s="2"/>
      <c r="B11" s="8" t="s">
        <v>119</v>
      </c>
      <c r="C11" s="9" t="s">
        <v>120</v>
      </c>
      <c r="D11" s="2" t="s">
        <v>121</v>
      </c>
      <c r="E11" s="8" t="s">
        <v>111</v>
      </c>
      <c r="F11" s="2" t="s">
        <v>122</v>
      </c>
      <c r="G11" s="2" t="s">
        <v>123</v>
      </c>
      <c r="H11" s="8">
        <v>25</v>
      </c>
      <c r="I11" s="8" t="s">
        <v>124</v>
      </c>
    </row>
    <row r="12" spans="1:9" ht="60" customHeight="1" x14ac:dyDescent="0.45">
      <c r="A12" s="2"/>
      <c r="B12" s="8" t="s">
        <v>125</v>
      </c>
      <c r="C12" s="9" t="s">
        <v>126</v>
      </c>
      <c r="D12" s="2" t="s">
        <v>127</v>
      </c>
      <c r="E12" s="8" t="s">
        <v>111</v>
      </c>
      <c r="F12" s="2" t="s">
        <v>128</v>
      </c>
      <c r="G12" s="2" t="s">
        <v>129</v>
      </c>
      <c r="H12" s="8">
        <v>30</v>
      </c>
      <c r="I12" s="8" t="s">
        <v>124</v>
      </c>
    </row>
    <row r="13" spans="1:9" ht="20" customHeight="1" x14ac:dyDescent="0.45">
      <c r="A13" s="2"/>
      <c r="B13" s="10" t="s">
        <v>130</v>
      </c>
      <c r="C13" s="26" t="s">
        <v>131</v>
      </c>
      <c r="D13" s="16"/>
      <c r="E13" s="16"/>
      <c r="F13" s="16"/>
      <c r="G13" s="15"/>
      <c r="H13" s="10">
        <v>60</v>
      </c>
      <c r="I13" s="10"/>
    </row>
    <row r="14" spans="1:9" ht="45" customHeight="1" x14ac:dyDescent="0.45">
      <c r="A14" s="2"/>
      <c r="B14" s="8" t="s">
        <v>132</v>
      </c>
      <c r="C14" s="9" t="s">
        <v>133</v>
      </c>
      <c r="D14" s="2" t="s">
        <v>134</v>
      </c>
      <c r="E14" s="8" t="s">
        <v>105</v>
      </c>
      <c r="F14" s="2" t="s">
        <v>135</v>
      </c>
      <c r="G14" s="2" t="s">
        <v>136</v>
      </c>
      <c r="H14" s="8">
        <v>15</v>
      </c>
      <c r="I14" s="8" t="s">
        <v>124</v>
      </c>
    </row>
    <row r="15" spans="1:9" ht="22" customHeight="1" x14ac:dyDescent="0.45">
      <c r="A15" s="2"/>
      <c r="B15" s="25" t="s">
        <v>137</v>
      </c>
      <c r="C15" s="16"/>
      <c r="D15" s="16"/>
      <c r="E15" s="16"/>
      <c r="F15" s="16"/>
      <c r="G15" s="16"/>
      <c r="H15" s="16"/>
      <c r="I15" s="15"/>
    </row>
    <row r="16" spans="1:9" ht="45" customHeight="1" x14ac:dyDescent="0.45">
      <c r="A16" s="2"/>
      <c r="B16" s="8" t="s">
        <v>138</v>
      </c>
      <c r="C16" s="9" t="s">
        <v>139</v>
      </c>
      <c r="D16" s="2" t="s">
        <v>140</v>
      </c>
      <c r="E16" s="8" t="s">
        <v>105</v>
      </c>
      <c r="F16" s="2" t="s">
        <v>141</v>
      </c>
      <c r="G16" s="2" t="s">
        <v>142</v>
      </c>
      <c r="H16" s="8">
        <v>20</v>
      </c>
      <c r="I16" s="11" t="s">
        <v>143</v>
      </c>
    </row>
    <row r="17" spans="1:9" ht="60" customHeight="1" x14ac:dyDescent="0.45">
      <c r="A17" s="2"/>
      <c r="B17" s="8" t="s">
        <v>144</v>
      </c>
      <c r="C17" s="9" t="s">
        <v>145</v>
      </c>
      <c r="D17" s="2" t="s">
        <v>146</v>
      </c>
      <c r="E17" s="8" t="s">
        <v>111</v>
      </c>
      <c r="F17" s="2" t="s">
        <v>147</v>
      </c>
      <c r="G17" s="2" t="s">
        <v>148</v>
      </c>
      <c r="H17" s="8">
        <v>40</v>
      </c>
      <c r="I17" s="11" t="s">
        <v>143</v>
      </c>
    </row>
    <row r="18" spans="1:9" ht="20" customHeight="1" x14ac:dyDescent="0.45">
      <c r="A18" s="2"/>
      <c r="B18" s="10" t="s">
        <v>149</v>
      </c>
      <c r="C18" s="26" t="s">
        <v>100</v>
      </c>
      <c r="D18" s="16"/>
      <c r="E18" s="16"/>
      <c r="F18" s="16"/>
      <c r="G18" s="15"/>
      <c r="H18" s="10">
        <v>10</v>
      </c>
      <c r="I18" s="10"/>
    </row>
    <row r="19" spans="1:9" ht="22" customHeight="1" x14ac:dyDescent="0.45">
      <c r="A19" s="2"/>
      <c r="B19" s="25" t="s">
        <v>150</v>
      </c>
      <c r="C19" s="16"/>
      <c r="D19" s="16"/>
      <c r="E19" s="16"/>
      <c r="F19" s="16"/>
      <c r="G19" s="16"/>
      <c r="H19" s="16"/>
      <c r="I19" s="15"/>
    </row>
    <row r="20" spans="1:9" ht="45" customHeight="1" x14ac:dyDescent="0.45">
      <c r="A20" s="2"/>
      <c r="B20" s="8" t="s">
        <v>151</v>
      </c>
      <c r="C20" s="9" t="s">
        <v>152</v>
      </c>
      <c r="D20" s="2" t="s">
        <v>153</v>
      </c>
      <c r="E20" s="8" t="s">
        <v>111</v>
      </c>
      <c r="F20" s="2" t="s">
        <v>154</v>
      </c>
      <c r="G20" s="2" t="s">
        <v>155</v>
      </c>
      <c r="H20" s="8">
        <v>15</v>
      </c>
      <c r="I20" s="8"/>
    </row>
    <row r="21" spans="1:9" ht="45" customHeight="1" x14ac:dyDescent="0.45">
      <c r="A21" s="2"/>
      <c r="B21" s="8" t="s">
        <v>156</v>
      </c>
      <c r="C21" s="9" t="s">
        <v>157</v>
      </c>
      <c r="D21" s="2" t="s">
        <v>158</v>
      </c>
      <c r="E21" s="8" t="s">
        <v>111</v>
      </c>
      <c r="F21" s="2" t="s">
        <v>159</v>
      </c>
      <c r="G21" s="2" t="s">
        <v>160</v>
      </c>
      <c r="H21" s="8">
        <v>20</v>
      </c>
      <c r="I21" s="8"/>
    </row>
    <row r="22" spans="1:9" ht="45" customHeight="1" x14ac:dyDescent="0.45">
      <c r="A22" s="2"/>
      <c r="B22" s="8" t="s">
        <v>161</v>
      </c>
      <c r="C22" s="9" t="s">
        <v>162</v>
      </c>
      <c r="D22" s="2" t="s">
        <v>163</v>
      </c>
      <c r="E22" s="8" t="s">
        <v>111</v>
      </c>
      <c r="F22" s="2" t="s">
        <v>164</v>
      </c>
      <c r="G22" s="2" t="s">
        <v>165</v>
      </c>
      <c r="H22" s="8">
        <v>15</v>
      </c>
      <c r="I22" s="8"/>
    </row>
    <row r="23" spans="1:9" ht="22" customHeight="1" x14ac:dyDescent="0.45">
      <c r="A23" s="2"/>
      <c r="B23" s="25" t="s">
        <v>166</v>
      </c>
      <c r="C23" s="16"/>
      <c r="D23" s="16"/>
      <c r="E23" s="16"/>
      <c r="F23" s="16"/>
      <c r="G23" s="16"/>
      <c r="H23" s="16"/>
      <c r="I23" s="15"/>
    </row>
    <row r="24" spans="1:9" ht="45" customHeight="1" x14ac:dyDescent="0.45">
      <c r="A24" s="2"/>
      <c r="B24" s="8" t="s">
        <v>167</v>
      </c>
      <c r="C24" s="9" t="s">
        <v>168</v>
      </c>
      <c r="D24" s="2" t="s">
        <v>169</v>
      </c>
      <c r="E24" s="8" t="s">
        <v>111</v>
      </c>
      <c r="F24" s="2" t="s">
        <v>170</v>
      </c>
      <c r="G24" s="2" t="s">
        <v>171</v>
      </c>
      <c r="H24" s="8">
        <v>18</v>
      </c>
      <c r="I24" s="8" t="s">
        <v>124</v>
      </c>
    </row>
    <row r="25" spans="1:9" ht="45" customHeight="1" x14ac:dyDescent="0.45">
      <c r="A25" s="2"/>
      <c r="B25" s="8" t="s">
        <v>172</v>
      </c>
      <c r="C25" s="9" t="s">
        <v>173</v>
      </c>
      <c r="D25" s="2" t="s">
        <v>174</v>
      </c>
      <c r="E25" s="8" t="s">
        <v>111</v>
      </c>
      <c r="F25" s="2" t="s">
        <v>175</v>
      </c>
      <c r="G25" s="2" t="s">
        <v>176</v>
      </c>
      <c r="H25" s="8">
        <v>12</v>
      </c>
      <c r="I25" s="8"/>
    </row>
    <row r="26" spans="1:9" ht="22" customHeight="1" x14ac:dyDescent="0.45">
      <c r="A26" s="2"/>
      <c r="B26" s="25" t="s">
        <v>177</v>
      </c>
      <c r="C26" s="16"/>
      <c r="D26" s="16"/>
      <c r="E26" s="16"/>
      <c r="F26" s="16"/>
      <c r="G26" s="16"/>
      <c r="H26" s="16"/>
      <c r="I26" s="15"/>
    </row>
    <row r="27" spans="1:9" ht="75" customHeight="1" x14ac:dyDescent="0.45">
      <c r="A27" s="2"/>
      <c r="B27" s="8" t="s">
        <v>178</v>
      </c>
      <c r="C27" s="9" t="s">
        <v>179</v>
      </c>
      <c r="D27" s="2" t="s">
        <v>180</v>
      </c>
      <c r="E27" s="8" t="s">
        <v>105</v>
      </c>
      <c r="F27" s="2" t="s">
        <v>181</v>
      </c>
      <c r="G27" s="2" t="s">
        <v>182</v>
      </c>
      <c r="H27" s="8">
        <v>20</v>
      </c>
      <c r="I27" s="8" t="s">
        <v>183</v>
      </c>
    </row>
    <row r="28" spans="1:9" ht="22" customHeight="1" x14ac:dyDescent="0.45">
      <c r="A28" s="2"/>
      <c r="B28" s="25" t="s">
        <v>184</v>
      </c>
      <c r="C28" s="16"/>
      <c r="D28" s="16"/>
      <c r="E28" s="16"/>
      <c r="F28" s="16"/>
      <c r="G28" s="16"/>
      <c r="H28" s="16"/>
      <c r="I28" s="15"/>
    </row>
    <row r="29" spans="1:9" ht="45" customHeight="1" x14ac:dyDescent="0.45">
      <c r="A29" s="2"/>
      <c r="B29" s="8" t="s">
        <v>185</v>
      </c>
      <c r="C29" s="9" t="s">
        <v>186</v>
      </c>
      <c r="D29" s="2" t="s">
        <v>187</v>
      </c>
      <c r="E29" s="8" t="s">
        <v>111</v>
      </c>
      <c r="F29" s="2" t="s">
        <v>188</v>
      </c>
      <c r="G29" s="2" t="s">
        <v>189</v>
      </c>
      <c r="H29" s="8">
        <v>15</v>
      </c>
      <c r="I29" s="8"/>
    </row>
    <row r="30" spans="1:9" ht="103" customHeight="1" x14ac:dyDescent="0.45">
      <c r="A30" s="2"/>
      <c r="B30" s="10" t="s">
        <v>190</v>
      </c>
      <c r="C30" s="12" t="s">
        <v>191</v>
      </c>
      <c r="D30" s="13" t="s">
        <v>192</v>
      </c>
      <c r="E30" s="10" t="s">
        <v>111</v>
      </c>
      <c r="F30" s="13" t="s">
        <v>193</v>
      </c>
      <c r="G30" s="13" t="s">
        <v>194</v>
      </c>
      <c r="H30" s="10">
        <v>20</v>
      </c>
      <c r="I30" s="10" t="s">
        <v>195</v>
      </c>
    </row>
    <row r="31" spans="1:9" ht="24" customHeight="1" x14ac:dyDescent="0.45">
      <c r="A31" s="2"/>
      <c r="B31" s="21" t="s">
        <v>49</v>
      </c>
      <c r="C31" s="16"/>
      <c r="D31" s="16"/>
      <c r="E31" s="15"/>
      <c r="F31" s="22" t="s">
        <v>196</v>
      </c>
      <c r="G31" s="15"/>
      <c r="H31" s="6">
        <f>SUM(H4:H30)</f>
        <v>480</v>
      </c>
      <c r="I31" s="6" t="s">
        <v>197</v>
      </c>
    </row>
    <row r="32" spans="1:9" ht="20" customHeight="1" x14ac:dyDescent="0.45">
      <c r="A32" s="2"/>
      <c r="B32" s="24" t="s">
        <v>198</v>
      </c>
      <c r="C32" s="16"/>
      <c r="D32" s="16"/>
      <c r="E32" s="16"/>
      <c r="F32" s="16"/>
      <c r="G32" s="16"/>
      <c r="H32" s="16"/>
      <c r="I32" s="15"/>
    </row>
    <row r="33" spans="1:9" ht="20" customHeight="1" x14ac:dyDescent="0.45">
      <c r="A33" s="2"/>
      <c r="B33" s="24" t="s">
        <v>199</v>
      </c>
      <c r="C33" s="16"/>
      <c r="D33" s="16"/>
      <c r="E33" s="16"/>
      <c r="F33" s="16"/>
      <c r="G33" s="16"/>
      <c r="H33" s="16"/>
      <c r="I33" s="15"/>
    </row>
    <row r="34" spans="1:9" ht="30" customHeight="1" x14ac:dyDescent="0.45">
      <c r="A34" s="2"/>
      <c r="B34" s="24" t="s">
        <v>200</v>
      </c>
      <c r="C34" s="16"/>
      <c r="D34" s="16"/>
      <c r="E34" s="16"/>
      <c r="F34" s="16"/>
      <c r="G34" s="16"/>
      <c r="H34" s="16"/>
      <c r="I34" s="15"/>
    </row>
    <row r="35" spans="1:9" ht="30" customHeight="1" x14ac:dyDescent="0.45">
      <c r="A35" s="2"/>
      <c r="B35" s="24" t="s">
        <v>201</v>
      </c>
      <c r="C35" s="16"/>
      <c r="D35" s="16"/>
      <c r="E35" s="16"/>
      <c r="F35" s="16"/>
      <c r="G35" s="16"/>
      <c r="H35" s="16"/>
      <c r="I35" s="15"/>
    </row>
  </sheetData>
  <mergeCells count="17">
    <mergeCell ref="A1:I1"/>
    <mergeCell ref="B28:I28"/>
    <mergeCell ref="B3:I3"/>
    <mergeCell ref="B19:I19"/>
    <mergeCell ref="F31:G31"/>
    <mergeCell ref="B23:I23"/>
    <mergeCell ref="C13:G13"/>
    <mergeCell ref="C18:G18"/>
    <mergeCell ref="B26:I26"/>
    <mergeCell ref="B31:E31"/>
    <mergeCell ref="B35:I35"/>
    <mergeCell ref="B15:I15"/>
    <mergeCell ref="B7:I7"/>
    <mergeCell ref="C6:G6"/>
    <mergeCell ref="B33:I33"/>
    <mergeCell ref="B34:I34"/>
    <mergeCell ref="B32:I32"/>
  </mergeCells>
  <phoneticPr fontId="9" type="noConversion"/>
  <pageMargins left="0.5" right="0.5" top="0.5" bottom="0.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과정 개요</vt:lpstr>
      <vt:lpstr>커리큘럼</vt:lpstr>
      <vt:lpstr>'과정 개요'!Print_Area</vt:lpstr>
      <vt:lpstr>커리큘럼!Print_Area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해경 이</cp:lastModifiedBy>
  <dcterms:created xsi:type="dcterms:W3CDTF">2026-06-07T09:59:26Z</dcterms:created>
  <dcterms:modified xsi:type="dcterms:W3CDTF">2026-06-08T08:23:43Z</dcterms:modified>
</cp:coreProperties>
</file>